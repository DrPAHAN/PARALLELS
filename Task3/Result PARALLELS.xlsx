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.pahan/Documents/PARALLELS/Task3/"/>
    </mc:Choice>
  </mc:AlternateContent>
  <xr:revisionPtr revIDLastSave="0" documentId="13_ncr:1_{9C3ED80C-E83E-E34F-A2CF-3F4A867B3133}" xr6:coauthVersionLast="47" xr6:coauthVersionMax="47" xr10:uidLastSave="{00000000-0000-0000-0000-000000000000}"/>
  <bookViews>
    <workbookView xWindow="1060" yWindow="500" windowWidth="27740" windowHeight="17500" xr2:uid="{66549463-9064-614A-99C3-EE68F529753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H4" i="1"/>
  <c r="D4" i="1"/>
  <c r="P4" i="1"/>
  <c r="P5" i="1"/>
  <c r="N5" i="1"/>
  <c r="L5" i="1"/>
  <c r="J5" i="1"/>
  <c r="H5" i="1"/>
  <c r="F5" i="1"/>
  <c r="N4" i="1"/>
  <c r="L4" i="1"/>
  <c r="J4" i="1"/>
  <c r="F4" i="1"/>
</calcChain>
</file>

<file path=xl/sharedStrings.xml><?xml version="1.0" encoding="utf-8"?>
<sst xmlns="http://schemas.openxmlformats.org/spreadsheetml/2006/main" count="39" uniqueCount="39">
  <si>
    <t>M=N</t>
  </si>
  <si>
    <t>Количество потоков</t>
  </si>
  <si>
    <t>S4</t>
  </si>
  <si>
    <t>S8</t>
  </si>
  <si>
    <t>40 000 (~ 12 GiB)</t>
  </si>
  <si>
    <t>20 000 (~ 3 GiB)</t>
  </si>
  <si>
    <t>S2</t>
  </si>
  <si>
    <t>S7</t>
  </si>
  <si>
    <t>S16</t>
  </si>
  <si>
    <t>S40</t>
  </si>
  <si>
    <t>S20</t>
  </si>
  <si>
    <t>потоки</t>
  </si>
  <si>
    <t>N=20000</t>
  </si>
  <si>
    <t>N=40000</t>
  </si>
  <si>
    <t>Кол-во потоков</t>
  </si>
  <si>
    <t xml:space="preserve">Время (с) Atomic </t>
  </si>
  <si>
    <t>Время (с) Local</t>
  </si>
  <si>
    <t>Ускорение Local vs Atomic</t>
  </si>
  <si>
    <t>9.48×</t>
  </si>
  <si>
    <t>89.61×</t>
  </si>
  <si>
    <t>214.62×</t>
  </si>
  <si>
    <t>342.84×</t>
  </si>
  <si>
    <t>443.98×</t>
  </si>
  <si>
    <t>1053.19×</t>
  </si>
  <si>
    <t>806.35×</t>
  </si>
  <si>
    <t>2323.72×</t>
  </si>
  <si>
    <t>Ускорение S_p (Local)</t>
  </si>
  <si>
    <t>Ускорение S_p  (Atomic)</t>
  </si>
  <si>
    <t>T₁ (базовое время на 1 потоке):</t>
  </si>
  <si>
    <r>
      <t xml:space="preserve">Atomic версия: </t>
    </r>
    <r>
      <rPr>
        <b/>
        <sz val="12"/>
        <color theme="1"/>
        <rFont val="Calibri"/>
        <family val="2"/>
        <charset val="204"/>
        <scheme val="minor"/>
      </rPr>
      <t>0.4293 с</t>
    </r>
  </si>
  <si>
    <r>
      <t xml:space="preserve">Local версия: </t>
    </r>
    <r>
      <rPr>
        <b/>
        <sz val="12"/>
        <color theme="1"/>
        <rFont val="Calibri"/>
        <family val="2"/>
        <charset val="204"/>
        <scheme val="minor"/>
      </rPr>
      <t>0.04528 с</t>
    </r>
  </si>
  <si>
    <t>Т1 (мс)</t>
  </si>
  <si>
    <t>Т2 (мс)</t>
  </si>
  <si>
    <t>T4 (мс)</t>
  </si>
  <si>
    <t>T7 (мс)</t>
  </si>
  <si>
    <t>T8 (мс)</t>
  </si>
  <si>
    <t>T16 (мс)</t>
  </si>
  <si>
    <t>T20 (мс)</t>
  </si>
  <si>
    <t>T40 (мс)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</si>
</sst>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/>
    <xf numFmtId="2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869929784259691E-2"/>
          <c:y val="4.1367171699524502E-2"/>
          <c:w val="0.90244136972420363"/>
          <c:h val="0.87139221704943393"/>
        </c:manualLayout>
      </c:layout>
      <c:lineChart>
        <c:grouping val="standard"/>
        <c:varyColors val="0"/>
        <c:ser>
          <c:idx val="0"/>
          <c:order val="0"/>
          <c:tx>
            <c:strRef>
              <c:f>Лист1!$F$24</c:f>
              <c:strCache>
                <c:ptCount val="1"/>
                <c:pt idx="0">
                  <c:v>Ускорение S_p  (Atomic)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Лист1!$A$25:$A$32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16</c:v>
                </c:pt>
                <c:pt idx="6">
                  <c:v>20</c:v>
                </c:pt>
                <c:pt idx="7">
                  <c:v>40</c:v>
                </c:pt>
              </c:numCache>
            </c:numRef>
          </c:cat>
          <c:val>
            <c:numRef>
              <c:f>Лист1!$F$25:$F$32</c:f>
              <c:numCache>
                <c:formatCode>General</c:formatCode>
                <c:ptCount val="8"/>
                <c:pt idx="0" formatCode="0.00">
                  <c:v>1</c:v>
                </c:pt>
                <c:pt idx="1">
                  <c:v>0.19</c:v>
                </c:pt>
                <c:pt idx="2">
                  <c:v>0.18</c:v>
                </c:pt>
                <c:pt idx="3">
                  <c:v>0.18</c:v>
                </c:pt>
                <c:pt idx="4">
                  <c:v>0.16</c:v>
                </c:pt>
                <c:pt idx="5">
                  <c:v>0.12</c:v>
                </c:pt>
                <c:pt idx="6">
                  <c:v>0.12</c:v>
                </c:pt>
                <c:pt idx="7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1A-9B47-887A-6A3216C67255}"/>
            </c:ext>
          </c:extLst>
        </c:ser>
        <c:ser>
          <c:idx val="1"/>
          <c:order val="1"/>
          <c:tx>
            <c:strRef>
              <c:f>Лист1!$E$24</c:f>
              <c:strCache>
                <c:ptCount val="1"/>
                <c:pt idx="0">
                  <c:v>Ускорение S_p (Local)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Лист1!$A$25:$A$32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16</c:v>
                </c:pt>
                <c:pt idx="6">
                  <c:v>20</c:v>
                </c:pt>
                <c:pt idx="7">
                  <c:v>40</c:v>
                </c:pt>
              </c:numCache>
            </c:numRef>
          </c:cat>
          <c:val>
            <c:numRef>
              <c:f>Лист1!$E$25:$E$32</c:f>
              <c:numCache>
                <c:formatCode>0.00</c:formatCode>
                <c:ptCount val="8"/>
                <c:pt idx="0">
                  <c:v>1</c:v>
                </c:pt>
                <c:pt idx="1">
                  <c:v>1.77</c:v>
                </c:pt>
                <c:pt idx="2">
                  <c:v>4</c:v>
                </c:pt>
                <c:pt idx="3" formatCode="General">
                  <c:v>6.63</c:v>
                </c:pt>
                <c:pt idx="4">
                  <c:v>7.56</c:v>
                </c:pt>
                <c:pt idx="5">
                  <c:v>13.54</c:v>
                </c:pt>
                <c:pt idx="6">
                  <c:v>10.26</c:v>
                </c:pt>
                <c:pt idx="7">
                  <c:v>26.82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1A-9B47-887A-6A3216C67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536239"/>
        <c:axId val="820402127"/>
      </c:lineChart>
      <c:catAx>
        <c:axId val="82053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0402127"/>
        <c:crosses val="autoZero"/>
        <c:auto val="1"/>
        <c:lblAlgn val="ctr"/>
        <c:lblOffset val="100"/>
        <c:noMultiLvlLbl val="0"/>
      </c:catAx>
      <c:valAx>
        <c:axId val="82040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053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Лист1!$B$7</c:f>
              <c:strCache>
                <c:ptCount val="1"/>
                <c:pt idx="0">
                  <c:v>N=20000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Лист1!$A$8:$A$15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16</c:v>
                </c:pt>
                <c:pt idx="6">
                  <c:v>20</c:v>
                </c:pt>
                <c:pt idx="7">
                  <c:v>40</c:v>
                </c:pt>
              </c:numCache>
            </c:numRef>
          </c:cat>
          <c:val>
            <c:numRef>
              <c:f>Лист1!$B$8:$B$15</c:f>
              <c:numCache>
                <c:formatCode>General</c:formatCode>
                <c:ptCount val="8"/>
                <c:pt idx="0">
                  <c:v>1</c:v>
                </c:pt>
                <c:pt idx="1">
                  <c:v>1.47</c:v>
                </c:pt>
                <c:pt idx="2">
                  <c:v>1.52</c:v>
                </c:pt>
                <c:pt idx="3">
                  <c:v>1.81</c:v>
                </c:pt>
                <c:pt idx="4">
                  <c:v>1.86</c:v>
                </c:pt>
                <c:pt idx="5">
                  <c:v>1.81</c:v>
                </c:pt>
                <c:pt idx="6">
                  <c:v>1.9</c:v>
                </c:pt>
                <c:pt idx="7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47-214C-97AE-6C1522E81046}"/>
            </c:ext>
          </c:extLst>
        </c:ser>
        <c:ser>
          <c:idx val="1"/>
          <c:order val="1"/>
          <c:tx>
            <c:strRef>
              <c:f>Лист1!$C$7</c:f>
              <c:strCache>
                <c:ptCount val="1"/>
                <c:pt idx="0">
                  <c:v>N=40000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Лист1!$A$8:$A$15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16</c:v>
                </c:pt>
                <c:pt idx="6">
                  <c:v>20</c:v>
                </c:pt>
                <c:pt idx="7">
                  <c:v>40</c:v>
                </c:pt>
              </c:numCache>
            </c:numRef>
          </c:cat>
          <c:val>
            <c:numRef>
              <c:f>Лист1!$C$8:$C$15</c:f>
              <c:numCache>
                <c:formatCode>General</c:formatCode>
                <c:ptCount val="8"/>
                <c:pt idx="0">
                  <c:v>1</c:v>
                </c:pt>
                <c:pt idx="1">
                  <c:v>3.44</c:v>
                </c:pt>
                <c:pt idx="2">
                  <c:v>3.97</c:v>
                </c:pt>
                <c:pt idx="3">
                  <c:v>3.47</c:v>
                </c:pt>
                <c:pt idx="4">
                  <c:v>4.74</c:v>
                </c:pt>
                <c:pt idx="5">
                  <c:v>4.5999999999999996</c:v>
                </c:pt>
                <c:pt idx="6">
                  <c:v>5.27</c:v>
                </c:pt>
                <c:pt idx="7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47-214C-97AE-6C1522E81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71360"/>
        <c:axId val="77120400"/>
      </c:lineChart>
      <c:catAx>
        <c:axId val="7867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120400"/>
        <c:crosses val="autoZero"/>
        <c:auto val="1"/>
        <c:lblAlgn val="ctr"/>
        <c:lblOffset val="100"/>
        <c:noMultiLvlLbl val="0"/>
      </c:catAx>
      <c:valAx>
        <c:axId val="7712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67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434791</xdr:colOff>
      <xdr:row>21</xdr:row>
      <xdr:rowOff>197105</xdr:rowOff>
    </xdr:from>
    <xdr:to>
      <xdr:col>16</xdr:col>
      <xdr:colOff>439863</xdr:colOff>
      <xdr:row>41</xdr:row>
      <xdr:rowOff>39077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6472F8DB-DBC4-2A31-5033-12747CFAF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481417</xdr:colOff>
      <xdr:row>7</xdr:row>
      <xdr:rowOff>87590</xdr:rowOff>
    </xdr:from>
    <xdr:to>
      <xdr:col>14</xdr:col>
      <xdr:colOff>703667</xdr:colOff>
      <xdr:row>20</xdr:row>
      <xdr:rowOff>177397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F236A857-C64C-3CC2-0B53-F36650D1E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4794C-CAB0-D140-9D1A-1C2F76532177}">
  <dimension ref="A1:P36"/>
  <sheetViews>
    <sheetView tabSelected="1" zoomScale="130" zoomScaleNormal="130" workbookViewId="0">
      <selection activeCell="C20" sqref="C20"/>
    </sheetView>
  </sheetViews>
  <sheetFormatPr baseColWidth="10" defaultRowHeight="16" x14ac:dyDescent="0.2"/>
  <cols>
    <col min="1" max="1" width="15.5" bestFit="1" customWidth="1"/>
    <col min="2" max="2" width="13.83203125" bestFit="1" customWidth="1"/>
    <col min="3" max="3" width="16" bestFit="1" customWidth="1"/>
    <col min="4" max="4" width="23.5" bestFit="1" customWidth="1"/>
    <col min="5" max="5" width="19.83203125" bestFit="1" customWidth="1"/>
    <col min="6" max="6" width="22.1640625" bestFit="1" customWidth="1"/>
    <col min="7" max="7" width="10.1640625" bestFit="1" customWidth="1"/>
    <col min="8" max="8" width="5.6640625" bestFit="1" customWidth="1"/>
    <col min="9" max="9" width="10.1640625" bestFit="1" customWidth="1"/>
    <col min="10" max="10" width="5.6640625" bestFit="1" customWidth="1"/>
    <col min="11" max="11" width="10.1640625" bestFit="1" customWidth="1"/>
    <col min="12" max="12" width="5.6640625" bestFit="1" customWidth="1"/>
    <col min="13" max="13" width="10.1640625" bestFit="1" customWidth="1"/>
    <col min="14" max="14" width="5.6640625" bestFit="1" customWidth="1"/>
    <col min="15" max="15" width="10.1640625" bestFit="1" customWidth="1"/>
    <col min="16" max="16" width="5.6640625" bestFit="1" customWidth="1"/>
  </cols>
  <sheetData>
    <row r="1" spans="1:16" x14ac:dyDescent="0.2">
      <c r="A1" s="6" t="s">
        <v>0</v>
      </c>
      <c r="B1" s="6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">
      <c r="A2" s="6"/>
      <c r="B2" s="1">
        <v>1</v>
      </c>
      <c r="C2" s="6">
        <v>2</v>
      </c>
      <c r="D2" s="6"/>
      <c r="E2" s="6">
        <v>4</v>
      </c>
      <c r="F2" s="6"/>
      <c r="G2" s="6">
        <v>7</v>
      </c>
      <c r="H2" s="6"/>
      <c r="I2" s="6">
        <v>8</v>
      </c>
      <c r="J2" s="6"/>
      <c r="K2" s="6">
        <v>16</v>
      </c>
      <c r="L2" s="6"/>
      <c r="M2" s="6">
        <v>20</v>
      </c>
      <c r="N2" s="6"/>
      <c r="O2" s="6">
        <v>40</v>
      </c>
      <c r="P2" s="6"/>
    </row>
    <row r="3" spans="1:16" x14ac:dyDescent="0.2">
      <c r="A3" s="6"/>
      <c r="B3" s="1" t="s">
        <v>31</v>
      </c>
      <c r="C3" s="1" t="s">
        <v>32</v>
      </c>
      <c r="D3" s="2" t="s">
        <v>6</v>
      </c>
      <c r="E3" s="1" t="s">
        <v>33</v>
      </c>
      <c r="F3" s="2" t="s">
        <v>2</v>
      </c>
      <c r="G3" s="1" t="s">
        <v>34</v>
      </c>
      <c r="H3" s="2" t="s">
        <v>7</v>
      </c>
      <c r="I3" s="1" t="s">
        <v>35</v>
      </c>
      <c r="J3" s="2" t="s">
        <v>3</v>
      </c>
      <c r="K3" s="1" t="s">
        <v>36</v>
      </c>
      <c r="L3" s="2" t="s">
        <v>8</v>
      </c>
      <c r="M3" s="1" t="s">
        <v>37</v>
      </c>
      <c r="N3" s="2" t="s">
        <v>10</v>
      </c>
      <c r="O3" s="1" t="s">
        <v>38</v>
      </c>
      <c r="P3" s="2" t="s">
        <v>9</v>
      </c>
    </row>
    <row r="4" spans="1:16" ht="31" customHeight="1" x14ac:dyDescent="0.2">
      <c r="A4" t="s">
        <v>5</v>
      </c>
      <c r="B4">
        <v>4359.2700000000004</v>
      </c>
      <c r="C4">
        <v>2964.77</v>
      </c>
      <c r="D4" s="3">
        <f>B4/C4</f>
        <v>1.4703568910910461</v>
      </c>
      <c r="E4">
        <v>2869.71</v>
      </c>
      <c r="F4" s="3">
        <f>B4/E4</f>
        <v>1.5190629018263171</v>
      </c>
      <c r="G4">
        <v>2413.4499999999998</v>
      </c>
      <c r="H4" s="3">
        <f>B4/G4</f>
        <v>1.8062400298328123</v>
      </c>
      <c r="I4">
        <v>2339.1</v>
      </c>
      <c r="J4" s="3">
        <f>B4/I4</f>
        <v>1.8636526869308712</v>
      </c>
      <c r="K4">
        <v>2413.7800000000002</v>
      </c>
      <c r="L4" s="3">
        <f>B4/K4</f>
        <v>1.8059930896767726</v>
      </c>
      <c r="M4">
        <v>2299.4</v>
      </c>
      <c r="N4" s="3">
        <f>B4/M4</f>
        <v>1.8958293467861183</v>
      </c>
      <c r="O4">
        <v>2307.19</v>
      </c>
      <c r="P4" s="3">
        <f>B4/O4</f>
        <v>1.8894282655524688</v>
      </c>
    </row>
    <row r="5" spans="1:16" ht="32" customHeight="1" x14ac:dyDescent="0.2">
      <c r="A5" t="s">
        <v>4</v>
      </c>
      <c r="B5">
        <v>71856.66</v>
      </c>
      <c r="C5">
        <v>20884.77</v>
      </c>
      <c r="D5" s="3">
        <f>B5/C5</f>
        <v>3.4406249147105763</v>
      </c>
      <c r="E5">
        <v>18122.59</v>
      </c>
      <c r="F5" s="3">
        <f>B5/E5</f>
        <v>3.9650325919198086</v>
      </c>
      <c r="G5">
        <v>20708.689999999999</v>
      </c>
      <c r="H5" s="3">
        <f>B5/G5</f>
        <v>3.4698795529799331</v>
      </c>
      <c r="I5">
        <v>15169.35</v>
      </c>
      <c r="J5" s="3">
        <f>B5/I5</f>
        <v>4.7369636800522104</v>
      </c>
      <c r="K5">
        <v>15627.22</v>
      </c>
      <c r="L5" s="3">
        <f>B5/K5</f>
        <v>4.5981729315898798</v>
      </c>
      <c r="M5">
        <v>13628.88</v>
      </c>
      <c r="N5" s="3">
        <f>B5/M5</f>
        <v>5.2723818831774887</v>
      </c>
      <c r="O5">
        <v>9453.5300000000007</v>
      </c>
      <c r="P5" s="3">
        <f>B5/O5</f>
        <v>7.6010400347806586</v>
      </c>
    </row>
    <row r="7" spans="1:16" x14ac:dyDescent="0.2">
      <c r="A7" t="s">
        <v>11</v>
      </c>
      <c r="B7" t="s">
        <v>12</v>
      </c>
      <c r="C7" t="s">
        <v>13</v>
      </c>
    </row>
    <row r="8" spans="1:16" x14ac:dyDescent="0.2">
      <c r="A8">
        <v>1</v>
      </c>
      <c r="B8">
        <v>1</v>
      </c>
      <c r="C8">
        <v>1</v>
      </c>
    </row>
    <row r="9" spans="1:16" x14ac:dyDescent="0.2">
      <c r="A9">
        <v>2</v>
      </c>
      <c r="B9">
        <v>1.47</v>
      </c>
      <c r="C9">
        <v>3.44</v>
      </c>
    </row>
    <row r="10" spans="1:16" x14ac:dyDescent="0.2">
      <c r="A10">
        <v>4</v>
      </c>
      <c r="B10">
        <v>1.52</v>
      </c>
      <c r="C10">
        <v>3.97</v>
      </c>
    </row>
    <row r="11" spans="1:16" x14ac:dyDescent="0.2">
      <c r="A11">
        <v>7</v>
      </c>
      <c r="B11">
        <v>1.81</v>
      </c>
      <c r="C11">
        <v>3.47</v>
      </c>
    </row>
    <row r="12" spans="1:16" x14ac:dyDescent="0.2">
      <c r="A12">
        <v>8</v>
      </c>
      <c r="B12">
        <v>1.86</v>
      </c>
      <c r="C12">
        <v>4.74</v>
      </c>
    </row>
    <row r="13" spans="1:16" x14ac:dyDescent="0.2">
      <c r="A13">
        <v>16</v>
      </c>
      <c r="B13">
        <v>1.81</v>
      </c>
      <c r="C13">
        <v>4.5999999999999996</v>
      </c>
    </row>
    <row r="14" spans="1:16" x14ac:dyDescent="0.2">
      <c r="A14">
        <v>20</v>
      </c>
      <c r="B14">
        <v>1.9</v>
      </c>
      <c r="C14">
        <v>5.27</v>
      </c>
    </row>
    <row r="15" spans="1:16" x14ac:dyDescent="0.2">
      <c r="A15">
        <v>40</v>
      </c>
      <c r="B15">
        <v>1.89</v>
      </c>
      <c r="C15">
        <v>7.6</v>
      </c>
    </row>
    <row r="24" spans="1:6" x14ac:dyDescent="0.2">
      <c r="A24" t="s">
        <v>14</v>
      </c>
      <c r="B24" t="s">
        <v>16</v>
      </c>
      <c r="C24" t="s">
        <v>15</v>
      </c>
      <c r="D24" t="s">
        <v>17</v>
      </c>
      <c r="E24" t="s">
        <v>26</v>
      </c>
      <c r="F24" t="s">
        <v>27</v>
      </c>
    </row>
    <row r="25" spans="1:6" x14ac:dyDescent="0.2">
      <c r="A25">
        <v>1</v>
      </c>
      <c r="B25">
        <v>4.5280000000000001E-2</v>
      </c>
      <c r="C25">
        <v>0.42930000000000001</v>
      </c>
      <c r="D25" t="s">
        <v>18</v>
      </c>
      <c r="E25" s="4">
        <v>1</v>
      </c>
      <c r="F25" s="4">
        <v>1</v>
      </c>
    </row>
    <row r="26" spans="1:6" x14ac:dyDescent="0.2">
      <c r="A26">
        <v>2</v>
      </c>
      <c r="B26">
        <v>2.5610000000000001E-2</v>
      </c>
      <c r="C26">
        <v>2.2949999999999999</v>
      </c>
      <c r="D26" t="s">
        <v>19</v>
      </c>
      <c r="E26" s="4">
        <v>1.77</v>
      </c>
      <c r="F26">
        <v>0.19</v>
      </c>
    </row>
    <row r="27" spans="1:6" x14ac:dyDescent="0.2">
      <c r="A27">
        <v>4</v>
      </c>
      <c r="B27">
        <v>1.132E-2</v>
      </c>
      <c r="C27">
        <v>2.4291999999999998</v>
      </c>
      <c r="D27" t="s">
        <v>20</v>
      </c>
      <c r="E27" s="4">
        <v>4</v>
      </c>
      <c r="F27">
        <v>0.18</v>
      </c>
    </row>
    <row r="28" spans="1:6" x14ac:dyDescent="0.2">
      <c r="A28">
        <v>7</v>
      </c>
      <c r="B28">
        <v>6.8300000000000001E-3</v>
      </c>
      <c r="C28">
        <v>2.3412000000000002</v>
      </c>
      <c r="D28" t="s">
        <v>21</v>
      </c>
      <c r="E28">
        <v>6.63</v>
      </c>
      <c r="F28">
        <v>0.18</v>
      </c>
    </row>
    <row r="29" spans="1:6" x14ac:dyDescent="0.2">
      <c r="A29">
        <v>8</v>
      </c>
      <c r="B29">
        <v>5.9899999999999997E-3</v>
      </c>
      <c r="C29">
        <v>2.6589999999999998</v>
      </c>
      <c r="D29" t="s">
        <v>22</v>
      </c>
      <c r="E29" s="4">
        <v>7.56</v>
      </c>
      <c r="F29">
        <v>0.16</v>
      </c>
    </row>
    <row r="30" spans="1:6" x14ac:dyDescent="0.2">
      <c r="A30">
        <v>16</v>
      </c>
      <c r="B30">
        <v>3.3400000000000001E-3</v>
      </c>
      <c r="C30">
        <v>3.5228999999999999</v>
      </c>
      <c r="D30" t="s">
        <v>23</v>
      </c>
      <c r="E30" s="4">
        <v>13.54</v>
      </c>
      <c r="F30">
        <v>0.12</v>
      </c>
    </row>
    <row r="31" spans="1:6" x14ac:dyDescent="0.2">
      <c r="A31">
        <v>20</v>
      </c>
      <c r="B31">
        <v>4.4099999999999999E-3</v>
      </c>
      <c r="C31">
        <v>3.5575999999999999</v>
      </c>
      <c r="D31" t="s">
        <v>24</v>
      </c>
      <c r="E31" s="4">
        <v>10.26</v>
      </c>
      <c r="F31">
        <v>0.12</v>
      </c>
    </row>
    <row r="32" spans="1:6" x14ac:dyDescent="0.2">
      <c r="A32">
        <v>40</v>
      </c>
      <c r="B32">
        <v>1.6900000000000001E-3</v>
      </c>
      <c r="C32">
        <v>3.9226999999999999</v>
      </c>
      <c r="D32" t="s">
        <v>25</v>
      </c>
      <c r="E32" s="4">
        <v>26.82</v>
      </c>
      <c r="F32">
        <v>0.11</v>
      </c>
    </row>
    <row r="34" spans="1:1" x14ac:dyDescent="0.2">
      <c r="A34" s="5" t="s">
        <v>28</v>
      </c>
    </row>
    <row r="35" spans="1:1" x14ac:dyDescent="0.2">
      <c r="A35" t="s">
        <v>30</v>
      </c>
    </row>
    <row r="36" spans="1:1" x14ac:dyDescent="0.2">
      <c r="A36" t="s">
        <v>29</v>
      </c>
    </row>
  </sheetData>
  <mergeCells count="9">
    <mergeCell ref="K2:L2"/>
    <mergeCell ref="M2:N2"/>
    <mergeCell ref="O2:P2"/>
    <mergeCell ref="B1:P1"/>
    <mergeCell ref="A1:A3"/>
    <mergeCell ref="E2:F2"/>
    <mergeCell ref="G2:H2"/>
    <mergeCell ref="I2:J2"/>
    <mergeCell ref="C2:D2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Мироненко</dc:creator>
  <cp:lastModifiedBy>Александр Мироненко</cp:lastModifiedBy>
  <cp:lastPrinted>2026-03-12T09:45:12Z</cp:lastPrinted>
  <dcterms:created xsi:type="dcterms:W3CDTF">2026-03-11T13:05:23Z</dcterms:created>
  <dcterms:modified xsi:type="dcterms:W3CDTF">2026-05-13T14:20:51Z</dcterms:modified>
</cp:coreProperties>
</file>